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s\work\htw\5sem\pcb\"/>
    </mc:Choice>
  </mc:AlternateContent>
  <bookViews>
    <workbookView xWindow="-120" yWindow="-120" windowWidth="29040" windowHeight="158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11" i="1"/>
</calcChain>
</file>

<file path=xl/sharedStrings.xml><?xml version="1.0" encoding="utf-8"?>
<sst xmlns="http://schemas.openxmlformats.org/spreadsheetml/2006/main" count="203" uniqueCount="180">
  <si>
    <t>Review Protokoll BOM</t>
  </si>
  <si>
    <t>Projekt</t>
  </si>
  <si>
    <t>Schaltplan Revision</t>
  </si>
  <si>
    <t>Datum</t>
  </si>
  <si>
    <t>Anzahl</t>
  </si>
  <si>
    <t>Wert</t>
  </si>
  <si>
    <t>Package</t>
  </si>
  <si>
    <t>Bauteilnamen</t>
  </si>
  <si>
    <t>Lagermenge</t>
  </si>
  <si>
    <t>Nachbestellen</t>
  </si>
  <si>
    <t>OC_FARNELL</t>
  </si>
  <si>
    <t>OC_MOUSER</t>
  </si>
  <si>
    <t>OC_REICHELT</t>
  </si>
  <si>
    <t>OC_RS</t>
  </si>
  <si>
    <t>Order Code im Schaltplan vorhanden?
(yes, no, n/a)</t>
  </si>
  <si>
    <t>OC_CONRAD</t>
  </si>
  <si>
    <t>OC_DIGIKEY</t>
  </si>
  <si>
    <t>Moodle-Gruppenbezeichnung</t>
  </si>
  <si>
    <t>2200pF ±10% 50V</t>
  </si>
  <si>
    <t>C0805K</t>
  </si>
  <si>
    <t>0805B222K500CT</t>
  </si>
  <si>
    <t>10.2kΩ ±1%</t>
  </si>
  <si>
    <t>R0805</t>
  </si>
  <si>
    <t>AA0805FR-0710K2L</t>
  </si>
  <si>
    <t>665kΩ ±1%</t>
  </si>
  <si>
    <t>AC0805FR-07665KL</t>
  </si>
  <si>
    <t>Buzzer</t>
  </si>
  <si>
    <t>AL-60P06</t>
  </si>
  <si>
    <t>P-Channel MOSFET 30V 12A</t>
  </si>
  <si>
    <t>8-SOIC</t>
  </si>
  <si>
    <t>AO4407A</t>
  </si>
  <si>
    <t>Schottky Diode 30V 200mA</t>
  </si>
  <si>
    <t>SOD323F</t>
  </si>
  <si>
    <t>BAT54J,115</t>
  </si>
  <si>
    <t>22pF ±5% 50V</t>
  </si>
  <si>
    <t>C0805C220J5GAC7800</t>
  </si>
  <si>
    <t>Schottky Diode 40V 5A</t>
  </si>
  <si>
    <t>DO-214AB</t>
  </si>
  <si>
    <t>CDBC540-G</t>
  </si>
  <si>
    <t>100nF ±10% 100V</t>
  </si>
  <si>
    <t>CL21B104KCFSFNE</t>
  </si>
  <si>
    <t>220nF ±10% 50V</t>
  </si>
  <si>
    <t>CL21B224KBFNNNE</t>
  </si>
  <si>
    <t>Joystick Module</t>
  </si>
  <si>
    <t>COM-KY023JM</t>
  </si>
  <si>
    <t>130kΩ ±0.1%</t>
  </si>
  <si>
    <t>ERA6AEB134V</t>
  </si>
  <si>
    <t>37.4kΩ ±0.1%</t>
  </si>
  <si>
    <t>ERA6AEB3742V</t>
  </si>
  <si>
    <t>DC Power Jack</t>
  </si>
  <si>
    <t>DCJ0202</t>
  </si>
  <si>
    <t>FCR681465P</t>
  </si>
  <si>
    <t>Tactile Switch SPST</t>
  </si>
  <si>
    <t>SMD-4.2x3.2</t>
  </si>
  <si>
    <t>FSM4JSMATR</t>
  </si>
  <si>
    <t>10µF ±10% 16V</t>
  </si>
  <si>
    <t>GRM21BR61C106KE15L</t>
  </si>
  <si>
    <t>47µF ±20% 2.5V</t>
  </si>
  <si>
    <t>GRM219D80E476ME44J</t>
  </si>
  <si>
    <t>Dual N/P MOSFET 20V</t>
  </si>
  <si>
    <t>SOIC-8</t>
  </si>
  <si>
    <t>IRF7307TRPBF</t>
  </si>
  <si>
    <t>4.7µH ±30% 1A</t>
  </si>
  <si>
    <t xml:space="preserve">DCR 1210 </t>
  </si>
  <si>
    <t>LQH32PN4R7NN0L</t>
  </si>
  <si>
    <t>SMB / DO-214AA</t>
  </si>
  <si>
    <t>MBRS540T3G</t>
  </si>
  <si>
    <t>Terminal Block 2P 5mm</t>
  </si>
  <si>
    <t>Terminal Block 5.00mm 2P</t>
  </si>
  <si>
    <t>MC24356</t>
  </si>
  <si>
    <t>10kΩ ±1%</t>
  </si>
  <si>
    <t>RC0805FR-0710KL</t>
  </si>
  <si>
    <t>4.7kΩ ±0.1%</t>
  </si>
  <si>
    <t>330Ω ±0.5%</t>
  </si>
  <si>
    <t>RR1220P-331-D</t>
  </si>
  <si>
    <t>1.96kΩ ±0.5%</t>
  </si>
  <si>
    <t>RT0805DRE071K96L</t>
  </si>
  <si>
    <t>OLED Display 128x64 I²C</t>
  </si>
  <si>
    <t>DISPLAY-OLED-128X64-I2C</t>
  </si>
  <si>
    <t>SBC-OLED01</t>
  </si>
  <si>
    <t>Raspberry Pi Pico W</t>
  </si>
  <si>
    <t>RASPBERRY_PI_PICO_W_REV3</t>
  </si>
  <si>
    <t>SC0919</t>
  </si>
  <si>
    <t>4.7µF ±10%</t>
  </si>
  <si>
    <t>TMK212AB7475KG-T</t>
  </si>
  <si>
    <t>Step-Down Converter 5A</t>
  </si>
  <si>
    <t>SOIC-8 / HSOIC-8 PowerPAD</t>
  </si>
  <si>
    <t>TPS54531DDAR</t>
  </si>
  <si>
    <t>100Ω ±1%</t>
  </si>
  <si>
    <t>WR08X1000FTL</t>
  </si>
  <si>
    <t>RGB LED 3535</t>
  </si>
  <si>
    <t>WS2812B-3535</t>
  </si>
  <si>
    <t>1.0</t>
  </si>
  <si>
    <t>I</t>
  </si>
  <si>
    <t>506-FSM4JSMATR</t>
  </si>
  <si>
    <t>450-1759-6-ND</t>
  </si>
  <si>
    <t>164-9003</t>
  </si>
  <si>
    <t xml:space="preserve">771-BAT54J115 </t>
  </si>
  <si>
    <t>BAT 54J NXP</t>
  </si>
  <si>
    <t>RASP PI PICO WH</t>
  </si>
  <si>
    <t>2648-SC0919-ND</t>
  </si>
  <si>
    <t>2825613 – VQ</t>
  </si>
  <si>
    <t>OS_JLCPCB</t>
  </si>
  <si>
    <t>OS_LCSC</t>
  </si>
  <si>
    <t>C527089</t>
  </si>
  <si>
    <t>SMD3535-4P</t>
  </si>
  <si>
    <t xml:space="preserve">791-0805B222K500CT </t>
  </si>
  <si>
    <t>WAL 0805B222K500</t>
  </si>
  <si>
    <t>1292-1570-6-ND</t>
  </si>
  <si>
    <t>603-AA0805FR-0710K</t>
  </si>
  <si>
    <t>AA0805FR-0710K2L-ND</t>
  </si>
  <si>
    <t xml:space="preserve">603-AC0805FR-07665KL </t>
  </si>
  <si>
    <t>AC0805FR-07665KL-ND</t>
  </si>
  <si>
    <t>AO 4407A</t>
  </si>
  <si>
    <t>785-1022-6-ND</t>
  </si>
  <si>
    <t>C16072</t>
  </si>
  <si>
    <t>C5155210</t>
  </si>
  <si>
    <t xml:space="preserve">80-C0805C220J5GAC </t>
  </si>
  <si>
    <t>C140992</t>
  </si>
  <si>
    <t>399-C0805C220J5GACTUDKR-ND</t>
  </si>
  <si>
    <t>KEM C0G0805 22P</t>
  </si>
  <si>
    <t xml:space="preserve">750-CDBC540-G </t>
  </si>
  <si>
    <t>641-1126-6-ND</t>
  </si>
  <si>
    <t xml:space="preserve">187-CL21B104KCFSFNE </t>
  </si>
  <si>
    <t>1276-2923-6-ND</t>
  </si>
  <si>
    <t>1276-1093-6-ND</t>
  </si>
  <si>
    <t xml:space="preserve">187-CL21B224KBFNNNE </t>
  </si>
  <si>
    <t>1707629 - 62</t>
  </si>
  <si>
    <t>DEBO THUMB JOY</t>
  </si>
  <si>
    <t>828-0774</t>
  </si>
  <si>
    <t xml:space="preserve">667-ERA-6AEB134V </t>
  </si>
  <si>
    <t>10-ERA-6AEB134VDKR-ND</t>
  </si>
  <si>
    <t xml:space="preserve">667-ERA-6AEB3742V </t>
  </si>
  <si>
    <t>SPR-0805 37,4K</t>
  </si>
  <si>
    <t>CLIFF FCR681465P</t>
  </si>
  <si>
    <t>81-GRM21BR61C106KE15</t>
  </si>
  <si>
    <t>247-8106</t>
  </si>
  <si>
    <t>490-3886-6-ND</t>
  </si>
  <si>
    <t xml:space="preserve">81-GRM219D80E476ME4J </t>
  </si>
  <si>
    <t>490-GRM219D80E476ME44JTR-ND</t>
  </si>
  <si>
    <t>OS_TME</t>
  </si>
  <si>
    <t xml:space="preserve">942-IRF7307TRPBF </t>
  </si>
  <si>
    <t>IRF7307PBFTR-ND</t>
  </si>
  <si>
    <t>C37369</t>
  </si>
  <si>
    <t>81-LQH32PN4R7NN0L</t>
  </si>
  <si>
    <t>490-5338-6-ND</t>
  </si>
  <si>
    <t>167-4086</t>
  </si>
  <si>
    <t>863-MBRS540T3G</t>
  </si>
  <si>
    <t>125-0012</t>
  </si>
  <si>
    <t>MBRS540T3GOSDKR-ND</t>
  </si>
  <si>
    <t xml:space="preserve">603-RC0805FR-0710KL </t>
  </si>
  <si>
    <t>311-10.0KCRDKR-ND</t>
  </si>
  <si>
    <t>618-5163</t>
  </si>
  <si>
    <t xml:space="preserve">754-RR1220P-331D </t>
  </si>
  <si>
    <t>RR12P330DDKR-ND</t>
  </si>
  <si>
    <t xml:space="preserve">603-RT0805DRE071K96L </t>
  </si>
  <si>
    <t>311-2812-6-ND</t>
  </si>
  <si>
    <t>DEBO OLED2 0.96</t>
  </si>
  <si>
    <t>2176922 - VQ</t>
  </si>
  <si>
    <t xml:space="preserve">595-TPS54531DDAR </t>
  </si>
  <si>
    <t>296-40801-6-ND</t>
  </si>
  <si>
    <t xml:space="preserve">963-TMK212AB7475KG-T </t>
  </si>
  <si>
    <t>587-2990-6-ND</t>
  </si>
  <si>
    <t>C163186</t>
  </si>
  <si>
    <t>C868622</t>
  </si>
  <si>
    <t>C50605</t>
  </si>
  <si>
    <t>791-WR08X1000FTL</t>
  </si>
  <si>
    <t>1292-WR08X1000FTLDKR-ND</t>
  </si>
  <si>
    <t>WAL WR08X1000FTL</t>
  </si>
  <si>
    <t>708-6597</t>
  </si>
  <si>
    <t>OS_CORESRAFF</t>
  </si>
  <si>
    <t>st50397090</t>
  </si>
  <si>
    <t>OS_TECHNISCIENCE</t>
  </si>
  <si>
    <t xml:space="preserve">AA0805FR-134K7L </t>
  </si>
  <si>
    <t>C6109714</t>
  </si>
  <si>
    <t>603-AA0805FR-134K7L</t>
  </si>
  <si>
    <t>13-AA0805FR-134K7LTR-ND</t>
  </si>
  <si>
    <t>WS2812B-MINI</t>
  </si>
  <si>
    <t>BattleShip</t>
  </si>
  <si>
    <t>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</si>
</sst>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2" xfId="0" applyFont="1" applyFill="1" applyBorder="1"/>
    <xf numFmtId="0" fontId="0" fillId="0" borderId="0" xfId="0" applyFill="1" applyBorder="1"/>
    <xf numFmtId="0" fontId="1" fillId="0" borderId="2" xfId="0" applyFont="1" applyFill="1" applyBorder="1" applyAlignment="1">
      <alignment vertical="center"/>
    </xf>
    <xf numFmtId="0" fontId="0" fillId="0" borderId="0" xfId="0" applyFill="1"/>
    <xf numFmtId="0" fontId="0" fillId="0" borderId="0" xfId="0" applyFont="1" applyFill="1" applyBorder="1"/>
    <xf numFmtId="49" fontId="0" fillId="0" borderId="0" xfId="0" applyNumberFormat="1" applyFont="1" applyFill="1" applyBorder="1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11"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9:R52" totalsRowShown="0" headerRowDxfId="10">
  <autoFilter ref="A9:R52"/>
  <tableColumns count="18">
    <tableColumn id="1" name="Anzahl"/>
    <tableColumn id="2" name="Wert"/>
    <tableColumn id="3" name="Package"/>
    <tableColumn id="4" name="Bauteilnamen"/>
    <tableColumn id="5" name="Lagermenge"/>
    <tableColumn id="6" name="Nachbestellen" dataDxfId="9">
      <calculatedColumnFormula>IF(ISBLANK(Tabelle1[[#This Row],[Lagermenge]]),"",Tabelle1[[#This Row],[Anzahl]]-Tabelle1[[#This Row],[Lagermenge]])</calculatedColumnFormula>
    </tableColumn>
    <tableColumn id="7" name="Order Code im Schaltplan vorhanden?_x000a_(yes, no, n/a)"/>
    <tableColumn id="8" name="OC_FARNELL"/>
    <tableColumn id="9" name="OC_MOUSER"/>
    <tableColumn id="10" name="OC_REICHELT"/>
    <tableColumn id="13" name="OC_DIGIKEY"/>
    <tableColumn id="12" name="OC_CONRAD"/>
    <tableColumn id="11" name="OC_RS"/>
    <tableColumn id="14" name="OS_LCSC"/>
    <tableColumn id="15" name="OS_JLCPCB"/>
    <tableColumn id="16" name="OS_TME"/>
    <tableColumn id="17" name="OS_CORESRAFF"/>
    <tableColumn id="18" name="OS_TECHNISCIENC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55" zoomScaleNormal="55" workbookViewId="0">
      <selection activeCell="E26" sqref="E26"/>
    </sheetView>
  </sheetViews>
  <sheetFormatPr defaultColWidth="9.109375" defaultRowHeight="14.4" x14ac:dyDescent="0.3"/>
  <cols>
    <col min="1" max="1" width="18.33203125" customWidth="1"/>
    <col min="2" max="2" width="29.88671875" customWidth="1"/>
    <col min="3" max="3" width="28.21875" customWidth="1"/>
    <col min="4" max="4" width="49.109375" bestFit="1" customWidth="1"/>
    <col min="5" max="5" width="14.88671875" bestFit="1" customWidth="1"/>
    <col min="6" max="6" width="16" customWidth="1"/>
    <col min="7" max="7" width="37.44140625" customWidth="1"/>
    <col min="8" max="8" width="14.33203125" customWidth="1"/>
    <col min="9" max="9" width="22.109375" customWidth="1"/>
    <col min="10" max="10" width="19.6640625" customWidth="1"/>
    <col min="11" max="11" width="30.5546875" customWidth="1"/>
    <col min="12" max="13" width="15.88671875" customWidth="1"/>
    <col min="14" max="14" width="11.44140625" bestFit="1" customWidth="1"/>
    <col min="15" max="15" width="11.44140625" customWidth="1"/>
    <col min="16" max="16" width="23.6640625" customWidth="1"/>
    <col min="17" max="17" width="14.77734375" customWidth="1"/>
    <col min="18" max="18" width="20.6640625" customWidth="1"/>
  </cols>
  <sheetData>
    <row r="1" spans="1:18" ht="33.6" x14ac:dyDescent="0.6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8" x14ac:dyDescent="0.3">
      <c r="A3" s="2" t="s">
        <v>1</v>
      </c>
      <c r="B3" s="17" t="s">
        <v>178</v>
      </c>
      <c r="C3" s="17"/>
    </row>
    <row r="4" spans="1:18" x14ac:dyDescent="0.3">
      <c r="A4" s="2" t="s">
        <v>2</v>
      </c>
      <c r="B4" s="17" t="s">
        <v>92</v>
      </c>
      <c r="C4" s="17"/>
    </row>
    <row r="5" spans="1:18" x14ac:dyDescent="0.3">
      <c r="A5" s="2" t="s">
        <v>3</v>
      </c>
      <c r="B5" s="18">
        <v>46180</v>
      </c>
      <c r="C5" s="17"/>
    </row>
    <row r="6" spans="1:18" ht="28.8" x14ac:dyDescent="0.3">
      <c r="A6" s="5" t="s">
        <v>17</v>
      </c>
      <c r="B6" s="17" t="s">
        <v>93</v>
      </c>
      <c r="C6" s="17"/>
    </row>
    <row r="9" spans="1:18" s="1" customFormat="1" ht="28.8" x14ac:dyDescent="0.3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4" t="s">
        <v>14</v>
      </c>
      <c r="H9" s="1" t="s">
        <v>10</v>
      </c>
      <c r="I9" s="1" t="s">
        <v>11</v>
      </c>
      <c r="J9" s="1" t="s">
        <v>12</v>
      </c>
      <c r="K9" s="1" t="s">
        <v>16</v>
      </c>
      <c r="L9" s="1" t="s">
        <v>15</v>
      </c>
      <c r="M9" s="1" t="s">
        <v>13</v>
      </c>
      <c r="N9" s="1" t="s">
        <v>103</v>
      </c>
      <c r="O9" s="1" t="s">
        <v>102</v>
      </c>
      <c r="P9" s="1" t="s">
        <v>140</v>
      </c>
      <c r="Q9" s="1" t="s">
        <v>170</v>
      </c>
      <c r="R9" s="1" t="s">
        <v>172</v>
      </c>
    </row>
    <row r="10" spans="1:18" x14ac:dyDescent="0.3">
      <c r="A10">
        <v>3</v>
      </c>
      <c r="B10" s="20" t="s">
        <v>179</v>
      </c>
      <c r="C10" t="s">
        <v>179</v>
      </c>
      <c r="D10" t="s">
        <v>179</v>
      </c>
      <c r="E10">
        <v>0</v>
      </c>
      <c r="F10" s="19">
        <f>IF(ISBLANK(Tabelle1[[#This Row],[Lagermenge]]),"",Tabelle1[[#This Row],[Anzahl]]-Tabelle1[[#This Row],[Lagermenge]])</f>
        <v>3</v>
      </c>
    </row>
    <row r="11" spans="1:18" x14ac:dyDescent="0.3">
      <c r="A11" s="6">
        <v>2</v>
      </c>
      <c r="B11" s="7" t="s">
        <v>18</v>
      </c>
      <c r="C11" s="8" t="s">
        <v>19</v>
      </c>
      <c r="D11" t="s">
        <v>20</v>
      </c>
      <c r="E11">
        <v>0</v>
      </c>
      <c r="F11" s="19">
        <f>IF(ISBLANK(Tabelle1[[#This Row],[Lagermenge]]),"",Tabelle1[[#This Row],[Anzahl]]-Tabelle1[[#This Row],[Lagermenge]])</f>
        <v>2</v>
      </c>
      <c r="G11" s="3"/>
      <c r="I11" t="s">
        <v>106</v>
      </c>
      <c r="J11" t="s">
        <v>107</v>
      </c>
      <c r="K11" t="s">
        <v>108</v>
      </c>
    </row>
    <row r="12" spans="1:18" x14ac:dyDescent="0.3">
      <c r="A12" s="6">
        <v>2</v>
      </c>
      <c r="B12" s="6" t="s">
        <v>21</v>
      </c>
      <c r="C12" s="8" t="s">
        <v>22</v>
      </c>
      <c r="D12" t="s">
        <v>23</v>
      </c>
      <c r="E12">
        <v>0</v>
      </c>
      <c r="F12" s="19">
        <f>IF(ISBLANK(Tabelle1[[#This Row],[Lagermenge]]),"",Tabelle1[[#This Row],[Anzahl]]-Tabelle1[[#This Row],[Lagermenge]])</f>
        <v>2</v>
      </c>
      <c r="H12">
        <v>2496956</v>
      </c>
      <c r="I12" t="s">
        <v>109</v>
      </c>
      <c r="K12" t="s">
        <v>110</v>
      </c>
    </row>
    <row r="13" spans="1:18" x14ac:dyDescent="0.3">
      <c r="A13" s="6">
        <v>2</v>
      </c>
      <c r="B13" s="7" t="s">
        <v>24</v>
      </c>
      <c r="C13" s="8" t="s">
        <v>22</v>
      </c>
      <c r="D13" t="s">
        <v>25</v>
      </c>
      <c r="E13">
        <v>0</v>
      </c>
      <c r="F13" s="19">
        <f>IF(ISBLANK(Tabelle1[[#This Row],[Lagermenge]]),"",Tabelle1[[#This Row],[Anzahl]]-Tabelle1[[#This Row],[Lagermenge]])</f>
        <v>2</v>
      </c>
      <c r="H13">
        <v>4053628</v>
      </c>
      <c r="I13" t="s">
        <v>111</v>
      </c>
      <c r="K13" t="s">
        <v>112</v>
      </c>
    </row>
    <row r="14" spans="1:18" x14ac:dyDescent="0.3">
      <c r="A14" s="6">
        <v>2</v>
      </c>
      <c r="B14" s="6" t="s">
        <v>26</v>
      </c>
      <c r="C14" s="8" t="s">
        <v>27</v>
      </c>
      <c r="D14" t="s">
        <v>27</v>
      </c>
      <c r="E14">
        <v>0</v>
      </c>
      <c r="F14" s="19">
        <f>IF(ISBLANK(Tabelle1[[#This Row],[Lagermenge]]),"",Tabelle1[[#This Row],[Anzahl]]-Tabelle1[[#This Row],[Lagermenge]])</f>
        <v>2</v>
      </c>
      <c r="J14" s="12" t="s">
        <v>27</v>
      </c>
    </row>
    <row r="15" spans="1:18" x14ac:dyDescent="0.3">
      <c r="A15" s="6">
        <v>3</v>
      </c>
      <c r="B15" s="7" t="s">
        <v>28</v>
      </c>
      <c r="C15" s="9" t="s">
        <v>29</v>
      </c>
      <c r="D15" t="s">
        <v>30</v>
      </c>
      <c r="E15">
        <v>0</v>
      </c>
      <c r="F15" s="19">
        <f>IF(ISBLANK(Tabelle1[[#This Row],[Lagermenge]]),"",Tabelle1[[#This Row],[Anzahl]]-Tabelle1[[#This Row],[Lagermenge]])</f>
        <v>3</v>
      </c>
      <c r="J15" t="s">
        <v>113</v>
      </c>
      <c r="K15" t="s">
        <v>114</v>
      </c>
      <c r="N15" t="s">
        <v>115</v>
      </c>
      <c r="O15" t="s">
        <v>116</v>
      </c>
    </row>
    <row r="16" spans="1:18" x14ac:dyDescent="0.3">
      <c r="A16" s="6">
        <v>2</v>
      </c>
      <c r="B16" s="6" t="s">
        <v>31</v>
      </c>
      <c r="C16" s="10" t="s">
        <v>32</v>
      </c>
      <c r="D16" t="s">
        <v>33</v>
      </c>
      <c r="E16">
        <v>0</v>
      </c>
      <c r="F16" s="19">
        <f>IF(ISBLANK(Tabelle1[[#This Row],[Lagermenge]]),"",Tabelle1[[#This Row],[Anzahl]]-Tabelle1[[#This Row],[Lagermenge]])</f>
        <v>2</v>
      </c>
      <c r="H16" s="13">
        <v>2319118</v>
      </c>
      <c r="I16" s="13" t="s">
        <v>97</v>
      </c>
      <c r="J16" s="13" t="s">
        <v>98</v>
      </c>
      <c r="N16" t="s">
        <v>118</v>
      </c>
    </row>
    <row r="17" spans="1:18" x14ac:dyDescent="0.3">
      <c r="A17" s="6">
        <v>2</v>
      </c>
      <c r="B17" s="7" t="s">
        <v>34</v>
      </c>
      <c r="C17" s="8" t="s">
        <v>19</v>
      </c>
      <c r="D17" t="s">
        <v>35</v>
      </c>
      <c r="E17">
        <v>0</v>
      </c>
      <c r="F17" s="19">
        <f>IF(ISBLANK(Tabelle1[[#This Row],[Lagermenge]]),"",Tabelle1[[#This Row],[Anzahl]]-Tabelle1[[#This Row],[Lagermenge]])</f>
        <v>2</v>
      </c>
      <c r="I17" t="s">
        <v>117</v>
      </c>
      <c r="J17" t="s">
        <v>120</v>
      </c>
      <c r="K17" t="s">
        <v>119</v>
      </c>
    </row>
    <row r="18" spans="1:18" x14ac:dyDescent="0.3">
      <c r="A18" s="6">
        <v>2</v>
      </c>
      <c r="B18" s="6" t="s">
        <v>36</v>
      </c>
      <c r="C18" s="9" t="s">
        <v>37</v>
      </c>
      <c r="D18" t="s">
        <v>38</v>
      </c>
      <c r="E18">
        <v>0</v>
      </c>
      <c r="F18" s="19">
        <f>IF(ISBLANK(Tabelle1[[#This Row],[Lagermenge]]),"",Tabelle1[[#This Row],[Anzahl]]-Tabelle1[[#This Row],[Lagermenge]])</f>
        <v>2</v>
      </c>
      <c r="I18" t="s">
        <v>121</v>
      </c>
      <c r="K18" t="s">
        <v>122</v>
      </c>
      <c r="Q18" t="s">
        <v>171</v>
      </c>
    </row>
    <row r="19" spans="1:18" x14ac:dyDescent="0.3">
      <c r="A19" s="6">
        <v>12</v>
      </c>
      <c r="B19" s="7" t="s">
        <v>39</v>
      </c>
      <c r="C19" s="8" t="s">
        <v>19</v>
      </c>
      <c r="D19" t="s">
        <v>40</v>
      </c>
      <c r="E19">
        <v>0</v>
      </c>
      <c r="F19" s="19">
        <f>IF(ISBLANK(Tabelle1[[#This Row],[Lagermenge]]),"",Tabelle1[[#This Row],[Anzahl]]-Tabelle1[[#This Row],[Lagermenge]])</f>
        <v>12</v>
      </c>
      <c r="H19">
        <v>4539169</v>
      </c>
      <c r="I19" t="s">
        <v>123</v>
      </c>
      <c r="K19" t="s">
        <v>124</v>
      </c>
    </row>
    <row r="20" spans="1:18" x14ac:dyDescent="0.3">
      <c r="A20" s="6">
        <v>2</v>
      </c>
      <c r="B20" s="6" t="s">
        <v>41</v>
      </c>
      <c r="C20" s="8" t="s">
        <v>19</v>
      </c>
      <c r="D20" t="s">
        <v>42</v>
      </c>
      <c r="E20">
        <v>0</v>
      </c>
      <c r="F20" s="19">
        <f>IF(ISBLANK(Tabelle1[[#This Row],[Lagermenge]]),"",Tabelle1[[#This Row],[Anzahl]]-Tabelle1[[#This Row],[Lagermenge]])</f>
        <v>2</v>
      </c>
      <c r="H20">
        <v>3013490</v>
      </c>
      <c r="I20" t="s">
        <v>126</v>
      </c>
      <c r="K20" t="s">
        <v>125</v>
      </c>
    </row>
    <row r="21" spans="1:18" x14ac:dyDescent="0.3">
      <c r="A21" s="6">
        <v>2</v>
      </c>
      <c r="B21" s="7" t="s">
        <v>43</v>
      </c>
      <c r="C21" s="9" t="s">
        <v>44</v>
      </c>
      <c r="D21" t="s">
        <v>44</v>
      </c>
      <c r="E21">
        <v>0</v>
      </c>
      <c r="F21" s="19">
        <f>IF(ISBLANK(Tabelle1[[#This Row],[Lagermenge]]),"",Tabelle1[[#This Row],[Anzahl]]-Tabelle1[[#This Row],[Lagermenge]])</f>
        <v>2</v>
      </c>
      <c r="J21" t="s">
        <v>128</v>
      </c>
      <c r="L21" t="s">
        <v>127</v>
      </c>
      <c r="R21">
        <v>106578</v>
      </c>
    </row>
    <row r="22" spans="1:18" x14ac:dyDescent="0.3">
      <c r="A22" s="6">
        <v>2</v>
      </c>
      <c r="B22" s="6" t="s">
        <v>45</v>
      </c>
      <c r="C22" s="8" t="s">
        <v>22</v>
      </c>
      <c r="D22" t="s">
        <v>46</v>
      </c>
      <c r="E22">
        <v>0</v>
      </c>
      <c r="F22" s="19">
        <f>IF(ISBLANK(Tabelle1[[#This Row],[Lagermenge]]),"",Tabelle1[[#This Row],[Anzahl]]-Tabelle1[[#This Row],[Lagermenge]])</f>
        <v>2</v>
      </c>
      <c r="H22">
        <v>1670255</v>
      </c>
      <c r="I22" t="s">
        <v>130</v>
      </c>
      <c r="K22" t="s">
        <v>131</v>
      </c>
      <c r="M22" t="s">
        <v>129</v>
      </c>
    </row>
    <row r="23" spans="1:18" x14ac:dyDescent="0.3">
      <c r="A23" s="6">
        <v>2</v>
      </c>
      <c r="B23" s="7" t="s">
        <v>47</v>
      </c>
      <c r="C23" s="8" t="s">
        <v>22</v>
      </c>
      <c r="D23" t="s">
        <v>48</v>
      </c>
      <c r="E23">
        <v>0</v>
      </c>
      <c r="F23" s="19">
        <f>IF(ISBLANK(Tabelle1[[#This Row],[Lagermenge]]),"",Tabelle1[[#This Row],[Anzahl]]-Tabelle1[[#This Row],[Lagermenge]])</f>
        <v>2</v>
      </c>
      <c r="H23">
        <v>4757153</v>
      </c>
      <c r="I23" t="s">
        <v>132</v>
      </c>
      <c r="J23" t="s">
        <v>133</v>
      </c>
      <c r="M23" t="s">
        <v>169</v>
      </c>
    </row>
    <row r="24" spans="1:18" x14ac:dyDescent="0.3">
      <c r="A24" s="6">
        <v>2</v>
      </c>
      <c r="B24" s="6" t="s">
        <v>49</v>
      </c>
      <c r="C24" s="8" t="s">
        <v>50</v>
      </c>
      <c r="D24" t="s">
        <v>51</v>
      </c>
      <c r="E24">
        <v>0</v>
      </c>
      <c r="F24" s="19">
        <f>IF(ISBLANK(Tabelle1[[#This Row],[Lagermenge]]),"",Tabelle1[[#This Row],[Anzahl]]-Tabelle1[[#This Row],[Lagermenge]])</f>
        <v>2</v>
      </c>
      <c r="H24" s="13">
        <v>1854512</v>
      </c>
      <c r="I24" s="13"/>
      <c r="J24" s="13" t="s">
        <v>134</v>
      </c>
      <c r="P24" t="s">
        <v>51</v>
      </c>
    </row>
    <row r="25" spans="1:18" x14ac:dyDescent="0.3">
      <c r="A25" s="6">
        <v>6</v>
      </c>
      <c r="B25" s="7" t="s">
        <v>52</v>
      </c>
      <c r="C25" s="9" t="s">
        <v>53</v>
      </c>
      <c r="D25" t="s">
        <v>54</v>
      </c>
      <c r="E25">
        <v>0</v>
      </c>
      <c r="F25" s="19">
        <f>IF(ISBLANK(Tabelle1[[#This Row],[Lagermenge]]),"",Tabelle1[[#This Row],[Anzahl]]-Tabelle1[[#This Row],[Lagermenge]])</f>
        <v>6</v>
      </c>
      <c r="I25" s="13" t="s">
        <v>94</v>
      </c>
      <c r="J25" s="13"/>
      <c r="K25" s="13" t="s">
        <v>95</v>
      </c>
      <c r="L25" s="13"/>
      <c r="M25" s="13" t="s">
        <v>96</v>
      </c>
    </row>
    <row r="26" spans="1:18" x14ac:dyDescent="0.3">
      <c r="A26" s="6">
        <v>4</v>
      </c>
      <c r="B26" s="6" t="s">
        <v>55</v>
      </c>
      <c r="C26" s="8" t="s">
        <v>19</v>
      </c>
      <c r="D26" t="s">
        <v>56</v>
      </c>
      <c r="E26">
        <v>0</v>
      </c>
      <c r="F26" s="19">
        <f>IF(ISBLANK(Tabelle1[[#This Row],[Lagermenge]]),"",Tabelle1[[#This Row],[Anzahl]]-Tabelle1[[#This Row],[Lagermenge]])</f>
        <v>4</v>
      </c>
      <c r="H26">
        <v>1762635</v>
      </c>
      <c r="I26" t="s">
        <v>135</v>
      </c>
      <c r="K26" t="s">
        <v>137</v>
      </c>
      <c r="M26" t="s">
        <v>136</v>
      </c>
    </row>
    <row r="27" spans="1:18" x14ac:dyDescent="0.3">
      <c r="A27" s="6">
        <v>8</v>
      </c>
      <c r="B27" s="7" t="s">
        <v>57</v>
      </c>
      <c r="C27" s="8" t="s">
        <v>19</v>
      </c>
      <c r="D27" t="s">
        <v>58</v>
      </c>
      <c r="E27">
        <v>0</v>
      </c>
      <c r="F27" s="19">
        <f>IF(ISBLANK(Tabelle1[[#This Row],[Lagermenge]]),"",Tabelle1[[#This Row],[Anzahl]]-Tabelle1[[#This Row],[Lagermenge]])</f>
        <v>8</v>
      </c>
      <c r="I27" t="s">
        <v>138</v>
      </c>
      <c r="K27" t="s">
        <v>139</v>
      </c>
      <c r="P27" t="s">
        <v>58</v>
      </c>
    </row>
    <row r="28" spans="1:18" x14ac:dyDescent="0.3">
      <c r="A28" s="6">
        <v>2</v>
      </c>
      <c r="B28" s="6" t="s">
        <v>59</v>
      </c>
      <c r="C28" s="11" t="s">
        <v>60</v>
      </c>
      <c r="D28" t="s">
        <v>61</v>
      </c>
      <c r="E28">
        <v>0</v>
      </c>
      <c r="F28" s="19">
        <f>IF(ISBLANK(Tabelle1[[#This Row],[Lagermenge]]),"",Tabelle1[[#This Row],[Anzahl]]-Tabelle1[[#This Row],[Lagermenge]])</f>
        <v>2</v>
      </c>
      <c r="I28" t="s">
        <v>141</v>
      </c>
      <c r="K28" t="s">
        <v>142</v>
      </c>
      <c r="N28" t="s">
        <v>143</v>
      </c>
    </row>
    <row r="29" spans="1:18" x14ac:dyDescent="0.3">
      <c r="A29" s="6">
        <v>3</v>
      </c>
      <c r="B29" s="7" t="s">
        <v>62</v>
      </c>
      <c r="C29" s="9" t="s">
        <v>63</v>
      </c>
      <c r="D29" t="s">
        <v>64</v>
      </c>
      <c r="E29">
        <v>0</v>
      </c>
      <c r="F29" s="19">
        <f>IF(ISBLANK(Tabelle1[[#This Row],[Lagermenge]]),"",Tabelle1[[#This Row],[Anzahl]]-Tabelle1[[#This Row],[Lagermenge]])</f>
        <v>3</v>
      </c>
      <c r="H29">
        <v>2470296</v>
      </c>
      <c r="I29" t="s">
        <v>144</v>
      </c>
      <c r="K29" t="s">
        <v>145</v>
      </c>
      <c r="M29" t="s">
        <v>146</v>
      </c>
    </row>
    <row r="30" spans="1:18" x14ac:dyDescent="0.3">
      <c r="A30" s="6">
        <v>4</v>
      </c>
      <c r="B30" s="6" t="s">
        <v>36</v>
      </c>
      <c r="C30" s="9" t="s">
        <v>65</v>
      </c>
      <c r="D30" t="s">
        <v>66</v>
      </c>
      <c r="E30">
        <v>0</v>
      </c>
      <c r="F30" s="19">
        <f>IF(ISBLANK(Tabelle1[[#This Row],[Lagermenge]]),"",Tabelle1[[#This Row],[Anzahl]]-Tabelle1[[#This Row],[Lagermenge]])</f>
        <v>4</v>
      </c>
      <c r="H30">
        <v>2101838</v>
      </c>
      <c r="I30" t="s">
        <v>147</v>
      </c>
      <c r="K30" t="s">
        <v>149</v>
      </c>
      <c r="M30" t="s">
        <v>148</v>
      </c>
    </row>
    <row r="31" spans="1:18" x14ac:dyDescent="0.3">
      <c r="A31" s="6">
        <v>2</v>
      </c>
      <c r="B31" s="7" t="s">
        <v>67</v>
      </c>
      <c r="C31" s="11" t="s">
        <v>68</v>
      </c>
      <c r="D31" t="s">
        <v>69</v>
      </c>
      <c r="E31">
        <v>0</v>
      </c>
      <c r="F31" s="19">
        <f>IF(ISBLANK(Tabelle1[[#This Row],[Lagermenge]]),"",Tabelle1[[#This Row],[Anzahl]]-Tabelle1[[#This Row],[Lagermenge]])</f>
        <v>2</v>
      </c>
      <c r="H31">
        <v>2396250</v>
      </c>
    </row>
    <row r="32" spans="1:18" x14ac:dyDescent="0.3">
      <c r="A32" s="6">
        <v>6</v>
      </c>
      <c r="B32" s="6" t="s">
        <v>70</v>
      </c>
      <c r="C32" s="8" t="s">
        <v>22</v>
      </c>
      <c r="D32" t="s">
        <v>71</v>
      </c>
      <c r="E32">
        <v>0</v>
      </c>
      <c r="F32" s="19">
        <f>IF(ISBLANK(Tabelle1[[#This Row],[Lagermenge]]),"",Tabelle1[[#This Row],[Anzahl]]-Tabelle1[[#This Row],[Lagermenge]])</f>
        <v>6</v>
      </c>
      <c r="H32">
        <v>9237755</v>
      </c>
      <c r="I32" t="s">
        <v>150</v>
      </c>
      <c r="K32" t="s">
        <v>151</v>
      </c>
      <c r="M32" t="s">
        <v>152</v>
      </c>
    </row>
    <row r="33" spans="1:16" x14ac:dyDescent="0.3">
      <c r="A33" s="6">
        <v>10</v>
      </c>
      <c r="B33" s="7" t="s">
        <v>72</v>
      </c>
      <c r="C33" s="8" t="s">
        <v>22</v>
      </c>
      <c r="D33" t="s">
        <v>173</v>
      </c>
      <c r="E33">
        <v>0</v>
      </c>
      <c r="F33" s="19">
        <f>IF(ISBLANK(Tabelle1[[#This Row],[Lagermenge]]),"",Tabelle1[[#This Row],[Anzahl]]-Tabelle1[[#This Row],[Lagermenge]])</f>
        <v>10</v>
      </c>
      <c r="I33" t="s">
        <v>175</v>
      </c>
      <c r="K33" t="s">
        <v>176</v>
      </c>
      <c r="M33" s="14"/>
      <c r="N33" s="14" t="s">
        <v>174</v>
      </c>
      <c r="O33" s="14"/>
    </row>
    <row r="34" spans="1:16" x14ac:dyDescent="0.3">
      <c r="A34" s="6">
        <v>6</v>
      </c>
      <c r="B34" s="6" t="s">
        <v>73</v>
      </c>
      <c r="C34" s="8" t="s">
        <v>22</v>
      </c>
      <c r="D34" t="s">
        <v>74</v>
      </c>
      <c r="E34">
        <v>0</v>
      </c>
      <c r="F34" s="19">
        <f>IF(ISBLANK(Tabelle1[[#This Row],[Lagermenge]]),"",Tabelle1[[#This Row],[Anzahl]]-Tabelle1[[#This Row],[Lagermenge]])</f>
        <v>6</v>
      </c>
      <c r="H34">
        <v>1612048</v>
      </c>
      <c r="I34" t="s">
        <v>153</v>
      </c>
      <c r="K34" t="s">
        <v>154</v>
      </c>
      <c r="M34" s="14"/>
      <c r="N34" s="14"/>
      <c r="O34" s="14"/>
    </row>
    <row r="35" spans="1:16" x14ac:dyDescent="0.3">
      <c r="A35" s="6">
        <v>2</v>
      </c>
      <c r="B35" s="7" t="s">
        <v>75</v>
      </c>
      <c r="C35" s="8" t="s">
        <v>22</v>
      </c>
      <c r="D35" t="s">
        <v>76</v>
      </c>
      <c r="E35">
        <v>0</v>
      </c>
      <c r="F35" s="19">
        <f>IF(ISBLANK(Tabelle1[[#This Row],[Lagermenge]]),"",Tabelle1[[#This Row],[Anzahl]]-Tabelle1[[#This Row],[Lagermenge]])</f>
        <v>2</v>
      </c>
      <c r="I35" t="s">
        <v>155</v>
      </c>
      <c r="K35" t="s">
        <v>156</v>
      </c>
      <c r="M35" s="14"/>
      <c r="N35" s="14" t="s">
        <v>164</v>
      </c>
      <c r="O35" s="14"/>
    </row>
    <row r="36" spans="1:16" x14ac:dyDescent="0.3">
      <c r="A36" s="6">
        <v>2</v>
      </c>
      <c r="B36" s="6" t="s">
        <v>77</v>
      </c>
      <c r="C36" s="8" t="s">
        <v>78</v>
      </c>
      <c r="D36" t="s">
        <v>79</v>
      </c>
      <c r="E36">
        <v>0</v>
      </c>
      <c r="F36" s="19">
        <f>IF(ISBLANK(Tabelle1[[#This Row],[Lagermenge]]),"",Tabelle1[[#This Row],[Anzahl]]-Tabelle1[[#This Row],[Lagermenge]])</f>
        <v>2</v>
      </c>
      <c r="H36" s="13"/>
      <c r="I36" s="13"/>
      <c r="J36" s="13" t="s">
        <v>157</v>
      </c>
      <c r="K36" s="13"/>
      <c r="L36" s="13" t="s">
        <v>158</v>
      </c>
      <c r="M36" s="14"/>
      <c r="N36" s="14"/>
      <c r="O36" s="14"/>
    </row>
    <row r="37" spans="1:16" x14ac:dyDescent="0.3">
      <c r="A37" s="6">
        <v>2</v>
      </c>
      <c r="B37" s="7" t="s">
        <v>80</v>
      </c>
      <c r="C37" s="8" t="s">
        <v>81</v>
      </c>
      <c r="D37" t="s">
        <v>82</v>
      </c>
      <c r="E37">
        <v>0</v>
      </c>
      <c r="F37" s="19">
        <f>IF(ISBLANK(Tabelle1[[#This Row],[Lagermenge]]),"",Tabelle1[[#This Row],[Anzahl]]-Tabelle1[[#This Row],[Lagermenge]])</f>
        <v>2</v>
      </c>
      <c r="H37" s="13"/>
      <c r="I37" s="13"/>
      <c r="J37" s="13" t="s">
        <v>99</v>
      </c>
      <c r="K37" s="13" t="s">
        <v>100</v>
      </c>
      <c r="L37" s="13" t="s">
        <v>101</v>
      </c>
      <c r="M37" s="14"/>
      <c r="N37" s="14"/>
      <c r="O37" s="14"/>
    </row>
    <row r="38" spans="1:16" x14ac:dyDescent="0.3">
      <c r="A38" s="6">
        <v>4</v>
      </c>
      <c r="B38" s="6" t="s">
        <v>83</v>
      </c>
      <c r="C38" s="8" t="s">
        <v>19</v>
      </c>
      <c r="D38" t="s">
        <v>84</v>
      </c>
      <c r="E38">
        <v>0</v>
      </c>
      <c r="F38" s="19">
        <f>IF(ISBLANK(Tabelle1[[#This Row],[Lagermenge]]),"",Tabelle1[[#This Row],[Anzahl]]-Tabelle1[[#This Row],[Lagermenge]])</f>
        <v>4</v>
      </c>
      <c r="I38" t="s">
        <v>161</v>
      </c>
      <c r="K38" t="s">
        <v>162</v>
      </c>
      <c r="M38" s="14"/>
      <c r="N38" s="15" t="s">
        <v>163</v>
      </c>
      <c r="O38" s="14"/>
    </row>
    <row r="39" spans="1:16" x14ac:dyDescent="0.3">
      <c r="A39" s="6">
        <v>3</v>
      </c>
      <c r="B39" s="7" t="s">
        <v>85</v>
      </c>
      <c r="C39" s="9" t="s">
        <v>86</v>
      </c>
      <c r="D39" t="s">
        <v>87</v>
      </c>
      <c r="E39">
        <v>0</v>
      </c>
      <c r="F39" s="19">
        <f>IF(ISBLANK(Tabelle1[[#This Row],[Lagermenge]]),"",Tabelle1[[#This Row],[Anzahl]]-Tabelle1[[#This Row],[Lagermenge]])</f>
        <v>3</v>
      </c>
      <c r="I39" t="s">
        <v>159</v>
      </c>
      <c r="K39" t="s">
        <v>160</v>
      </c>
      <c r="M39" s="14"/>
      <c r="N39" s="14" t="s">
        <v>165</v>
      </c>
      <c r="O39" s="14"/>
    </row>
    <row r="40" spans="1:16" x14ac:dyDescent="0.3">
      <c r="A40" s="6">
        <v>2</v>
      </c>
      <c r="B40" s="6" t="s">
        <v>88</v>
      </c>
      <c r="C40" s="8" t="s">
        <v>22</v>
      </c>
      <c r="D40" t="s">
        <v>89</v>
      </c>
      <c r="E40">
        <v>0</v>
      </c>
      <c r="F40" s="19">
        <f>IF(ISBLANK(Tabelle1[[#This Row],[Lagermenge]]),"",Tabelle1[[#This Row],[Anzahl]]-Tabelle1[[#This Row],[Lagermenge]])</f>
        <v>2</v>
      </c>
      <c r="I40" t="s">
        <v>166</v>
      </c>
      <c r="J40" t="s">
        <v>168</v>
      </c>
      <c r="K40" t="s">
        <v>167</v>
      </c>
      <c r="M40" s="14"/>
      <c r="N40" s="14"/>
      <c r="O40" s="14"/>
    </row>
    <row r="41" spans="1:16" x14ac:dyDescent="0.3">
      <c r="A41" s="6">
        <v>405</v>
      </c>
      <c r="B41" s="7" t="s">
        <v>90</v>
      </c>
      <c r="C41" t="s">
        <v>105</v>
      </c>
      <c r="D41" t="s">
        <v>91</v>
      </c>
      <c r="E41">
        <v>0</v>
      </c>
      <c r="F41">
        <f>IF(ISBLANK(Tabelle1[[#This Row],[Lagermenge]]),"",Tabelle1[[#This Row],[Anzahl]]-Tabelle1[[#This Row],[Lagermenge]])</f>
        <v>405</v>
      </c>
      <c r="M41" s="14"/>
      <c r="N41" s="14" t="s">
        <v>104</v>
      </c>
      <c r="O41" s="14" t="s">
        <v>104</v>
      </c>
      <c r="P41" t="s">
        <v>177</v>
      </c>
    </row>
    <row r="42" spans="1:16" x14ac:dyDescent="0.3">
      <c r="F42" t="str">
        <f>IF(ISBLANK(Tabelle1[[#This Row],[Lagermenge]]),"",Tabelle1[[#This Row],[Anzahl]]-Tabelle1[[#This Row],[Lagermenge]])</f>
        <v/>
      </c>
    </row>
    <row r="43" spans="1:16" x14ac:dyDescent="0.3">
      <c r="F43" t="str">
        <f>IF(ISBLANK(Tabelle1[[#This Row],[Lagermenge]]),"",Tabelle1[[#This Row],[Anzahl]]-Tabelle1[[#This Row],[Lagermenge]])</f>
        <v/>
      </c>
    </row>
    <row r="44" spans="1:16" x14ac:dyDescent="0.3">
      <c r="F44" t="str">
        <f>IF(ISBLANK(Tabelle1[[#This Row],[Lagermenge]]),"",Tabelle1[[#This Row],[Anzahl]]-Tabelle1[[#This Row],[Lagermenge]])</f>
        <v/>
      </c>
    </row>
    <row r="45" spans="1:16" x14ac:dyDescent="0.3">
      <c r="F45" t="str">
        <f>IF(ISBLANK(Tabelle1[[#This Row],[Lagermenge]]),"",Tabelle1[[#This Row],[Anzahl]]-Tabelle1[[#This Row],[Lagermenge]])</f>
        <v/>
      </c>
    </row>
    <row r="46" spans="1:16" x14ac:dyDescent="0.3">
      <c r="F46" t="str">
        <f>IF(ISBLANK(Tabelle1[[#This Row],[Lagermenge]]),"",Tabelle1[[#This Row],[Anzahl]]-Tabelle1[[#This Row],[Lagermenge]])</f>
        <v/>
      </c>
    </row>
    <row r="47" spans="1:16" x14ac:dyDescent="0.3">
      <c r="F47" t="str">
        <f>IF(ISBLANK(Tabelle1[[#This Row],[Lagermenge]]),"",Tabelle1[[#This Row],[Anzahl]]-Tabelle1[[#This Row],[Lagermenge]])</f>
        <v/>
      </c>
    </row>
    <row r="48" spans="1:16" x14ac:dyDescent="0.3">
      <c r="F48" t="str">
        <f>IF(ISBLANK(Tabelle1[[#This Row],[Lagermenge]]),"",Tabelle1[[#This Row],[Anzahl]]-Tabelle1[[#This Row],[Lagermenge]])</f>
        <v/>
      </c>
    </row>
    <row r="49" spans="6:6" x14ac:dyDescent="0.3">
      <c r="F49" t="str">
        <f>IF(ISBLANK(Tabelle1[[#This Row],[Lagermenge]]),"",Tabelle1[[#This Row],[Anzahl]]-Tabelle1[[#This Row],[Lagermenge]])</f>
        <v/>
      </c>
    </row>
    <row r="50" spans="6:6" x14ac:dyDescent="0.3">
      <c r="F50" t="str">
        <f>IF(ISBLANK(Tabelle1[[#This Row],[Lagermenge]]),"",Tabelle1[[#This Row],[Anzahl]]-Tabelle1[[#This Row],[Lagermenge]])</f>
        <v/>
      </c>
    </row>
    <row r="51" spans="6:6" x14ac:dyDescent="0.3">
      <c r="F51" t="str">
        <f>IF(ISBLANK(Tabelle1[[#This Row],[Lagermenge]]),"",Tabelle1[[#This Row],[Anzahl]]-Tabelle1[[#This Row],[Lagermenge]])</f>
        <v/>
      </c>
    </row>
    <row r="52" spans="6:6" x14ac:dyDescent="0.3">
      <c r="F52" t="str">
        <f>IF(ISBLANK(Tabelle1[[#This Row],[Lagermenge]]),"",Tabelle1[[#This Row],[Anzahl]]-Tabelle1[[#This Row],[Lagermenge]])</f>
        <v/>
      </c>
    </row>
  </sheetData>
  <mergeCells count="5">
    <mergeCell ref="A1:M1"/>
    <mergeCell ref="B3:C3"/>
    <mergeCell ref="B4:C4"/>
    <mergeCell ref="B5:C5"/>
    <mergeCell ref="B6:C6"/>
  </mergeCells>
  <conditionalFormatting sqref="F11:F52">
    <cfRule type="cellIs" dxfId="8" priority="7" operator="lessThan">
      <formula>0</formula>
    </cfRule>
    <cfRule type="cellIs" dxfId="7" priority="8" operator="greaterThan">
      <formula>0</formula>
    </cfRule>
    <cfRule type="containsBlanks" dxfId="6" priority="13" stopIfTrue="1">
      <formula>LEN(TRIM(F11))=0</formula>
    </cfRule>
  </conditionalFormatting>
  <conditionalFormatting sqref="G11:G37 G39:G52">
    <cfRule type="cellIs" dxfId="5" priority="10" operator="equal">
      <formula>"N/A"</formula>
    </cfRule>
    <cfRule type="cellIs" dxfId="4" priority="11" operator="equal">
      <formula>"yes"</formula>
    </cfRule>
    <cfRule type="cellIs" dxfId="3" priority="12" operator="equal">
      <formula>"no"</formula>
    </cfRule>
  </conditionalFormatting>
  <conditionalFormatting sqref="F10">
    <cfRule type="cellIs" dxfId="2" priority="1" operator="lessThan">
      <formula>0</formula>
    </cfRule>
    <cfRule type="cellIs" dxfId="1" priority="2" operator="greaterThan">
      <formula>0</formula>
    </cfRule>
    <cfRule type="containsBlanks" dxfId="0" priority="3" stopIfTrue="1">
      <formula>LEN(TRIM(F10))=0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zenturio</dc:creator>
  <cp:lastModifiedBy>Станислав Осипов</cp:lastModifiedBy>
  <dcterms:created xsi:type="dcterms:W3CDTF">2015-06-05T18:19:34Z</dcterms:created>
  <dcterms:modified xsi:type="dcterms:W3CDTF">2026-06-09T12:51:28Z</dcterms:modified>
</cp:coreProperties>
</file>